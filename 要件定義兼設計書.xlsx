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eiades\2026-06\workspace\springportfolio\"/>
    </mc:Choice>
  </mc:AlternateContent>
  <xr:revisionPtr revIDLastSave="0" documentId="8_{D5519609-E5FF-436F-BEDD-A32FF86E2F81}" xr6:coauthVersionLast="47" xr6:coauthVersionMax="47" xr10:uidLastSave="{00000000-0000-0000-0000-000000000000}"/>
  <bookViews>
    <workbookView xWindow="-108" yWindow="-108" windowWidth="23256" windowHeight="12456" tabRatio="757" xr2:uid="{C9271884-C87F-40D4-9F78-D9852228CE21}"/>
  </bookViews>
  <sheets>
    <sheet name="機能要件" sheetId="1" r:id="rId1"/>
    <sheet name="画面一覧" sheetId="3" r:id="rId2"/>
    <sheet name="画面遷移図" sheetId="4" r:id="rId3"/>
    <sheet name="DB" sheetId="6" r:id="rId4"/>
    <sheet name="ログイン画面" sheetId="8" r:id="rId5"/>
    <sheet name="ユーザー登録" sheetId="9" r:id="rId6"/>
    <sheet name="当月支出" sheetId="10" r:id="rId7"/>
    <sheet name="月別支出" sheetId="11" r:id="rId8"/>
    <sheet name="年間支出" sheetId="12" r:id="rId9"/>
    <sheet name="支出比較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4" i="1"/>
</calcChain>
</file>

<file path=xl/sharedStrings.xml><?xml version="1.0" encoding="utf-8"?>
<sst xmlns="http://schemas.openxmlformats.org/spreadsheetml/2006/main" count="112" uniqueCount="75">
  <si>
    <t>番号</t>
    <rPh sb="0" eb="2">
      <t>バンゴウ</t>
    </rPh>
    <phoneticPr fontId="1"/>
  </si>
  <si>
    <t>機能</t>
    <rPh sb="0" eb="2">
      <t>キノウ</t>
    </rPh>
    <phoneticPr fontId="1"/>
  </si>
  <si>
    <t>説明</t>
    <rPh sb="0" eb="2">
      <t>セツメイ</t>
    </rPh>
    <phoneticPr fontId="1"/>
  </si>
  <si>
    <t>ユーザー登録</t>
    <rPh sb="4" eb="6">
      <t>トウロク</t>
    </rPh>
    <phoneticPr fontId="1"/>
  </si>
  <si>
    <t>ユーザー情報を登録しDBに保持する</t>
    <rPh sb="4" eb="6">
      <t>ジョウホウ</t>
    </rPh>
    <rPh sb="7" eb="9">
      <t>トウロク</t>
    </rPh>
    <rPh sb="13" eb="15">
      <t>ホジ</t>
    </rPh>
    <phoneticPr fontId="1"/>
  </si>
  <si>
    <t>支出データを日付、項目を設定して登録できる</t>
    <rPh sb="0" eb="2">
      <t>シシュツ</t>
    </rPh>
    <rPh sb="6" eb="8">
      <t>ヒヅケ</t>
    </rPh>
    <rPh sb="9" eb="11">
      <t>コウモク</t>
    </rPh>
    <rPh sb="12" eb="14">
      <t>セッテイ</t>
    </rPh>
    <rPh sb="16" eb="18">
      <t>トウロク</t>
    </rPh>
    <phoneticPr fontId="1"/>
  </si>
  <si>
    <t>当月支出確認</t>
    <rPh sb="0" eb="2">
      <t>トウゲツ</t>
    </rPh>
    <rPh sb="2" eb="4">
      <t>シシュツ</t>
    </rPh>
    <rPh sb="4" eb="6">
      <t>カクニン</t>
    </rPh>
    <phoneticPr fontId="1"/>
  </si>
  <si>
    <t>当月の支出データを一覧にして確認できる</t>
    <rPh sb="0" eb="2">
      <t>トウゲツ</t>
    </rPh>
    <rPh sb="3" eb="5">
      <t>シシュツ</t>
    </rPh>
    <rPh sb="9" eb="11">
      <t>イチラン</t>
    </rPh>
    <rPh sb="14" eb="16">
      <t>カクニン</t>
    </rPh>
    <phoneticPr fontId="1"/>
  </si>
  <si>
    <t>月別支出確認</t>
    <rPh sb="0" eb="2">
      <t>ツキベツ</t>
    </rPh>
    <rPh sb="2" eb="6">
      <t>シシュツカクニン</t>
    </rPh>
    <phoneticPr fontId="1"/>
  </si>
  <si>
    <t>月ごと支出データを大項目ごとに確認、比較できる</t>
    <rPh sb="0" eb="1">
      <t>ツキ</t>
    </rPh>
    <rPh sb="3" eb="5">
      <t>シシュツ</t>
    </rPh>
    <rPh sb="9" eb="12">
      <t>ダイコウモク</t>
    </rPh>
    <rPh sb="15" eb="17">
      <t>カクニン</t>
    </rPh>
    <rPh sb="18" eb="20">
      <t>ヒカク</t>
    </rPh>
    <phoneticPr fontId="1"/>
  </si>
  <si>
    <t>年間支出確認</t>
    <rPh sb="0" eb="6">
      <t>ネンカンシシュツカクニン</t>
    </rPh>
    <phoneticPr fontId="1"/>
  </si>
  <si>
    <t>年間での支出データを大項目ごとに確認できる</t>
    <rPh sb="0" eb="2">
      <t>ネンカン</t>
    </rPh>
    <rPh sb="4" eb="6">
      <t>シシュツ</t>
    </rPh>
    <rPh sb="10" eb="13">
      <t>ダイコウモク</t>
    </rPh>
    <rPh sb="16" eb="18">
      <t>カクニン</t>
    </rPh>
    <phoneticPr fontId="1"/>
  </si>
  <si>
    <t>特定の支出項目の設定</t>
    <rPh sb="0" eb="2">
      <t>トクテイ</t>
    </rPh>
    <rPh sb="3" eb="7">
      <t>シシュツコウモク</t>
    </rPh>
    <rPh sb="8" eb="10">
      <t>セッテイ</t>
    </rPh>
    <phoneticPr fontId="1"/>
  </si>
  <si>
    <t>節約、強化している支出項目をユーザーごとに設定できる</t>
    <rPh sb="0" eb="2">
      <t>セツヤク</t>
    </rPh>
    <rPh sb="3" eb="5">
      <t>キョウカ</t>
    </rPh>
    <rPh sb="9" eb="13">
      <t>シシュツコウモク</t>
    </rPh>
    <rPh sb="21" eb="23">
      <t>セッテイ</t>
    </rPh>
    <phoneticPr fontId="1"/>
  </si>
  <si>
    <t>同程度の年収の他ユーザーの平均データと自身の月の支払いデータを比較できる</t>
    <rPh sb="0" eb="3">
      <t>ドウテイド</t>
    </rPh>
    <rPh sb="4" eb="6">
      <t>ネンシュウ</t>
    </rPh>
    <rPh sb="7" eb="8">
      <t>タ</t>
    </rPh>
    <rPh sb="13" eb="15">
      <t>ヘイキン</t>
    </rPh>
    <rPh sb="19" eb="21">
      <t>ジシン</t>
    </rPh>
    <rPh sb="22" eb="23">
      <t>ツキ</t>
    </rPh>
    <rPh sb="24" eb="26">
      <t>シハラ</t>
    </rPh>
    <rPh sb="31" eb="33">
      <t>ヒカク</t>
    </rPh>
    <phoneticPr fontId="1"/>
  </si>
  <si>
    <t>同じ支出項目を設定した同程度のユーザーとの比較</t>
    <rPh sb="0" eb="1">
      <t>オナ</t>
    </rPh>
    <rPh sb="2" eb="6">
      <t>シシュツコウモク</t>
    </rPh>
    <rPh sb="7" eb="9">
      <t>セッテイ</t>
    </rPh>
    <rPh sb="11" eb="14">
      <t>ドウテイド</t>
    </rPh>
    <rPh sb="21" eb="23">
      <t>ヒカク</t>
    </rPh>
    <phoneticPr fontId="1"/>
  </si>
  <si>
    <t>設定した支出項目の月の支払いデータを、同程度の収入で同じ項目を設定したユーザーの平均データと比較できる</t>
    <rPh sb="0" eb="2">
      <t>セッテイ</t>
    </rPh>
    <rPh sb="4" eb="8">
      <t>シシュツコウモク</t>
    </rPh>
    <rPh sb="9" eb="10">
      <t>ツキ</t>
    </rPh>
    <rPh sb="11" eb="13">
      <t>シハラ</t>
    </rPh>
    <rPh sb="19" eb="22">
      <t>ドウテイド</t>
    </rPh>
    <rPh sb="23" eb="25">
      <t>シュウニュウ</t>
    </rPh>
    <rPh sb="26" eb="27">
      <t>オナ</t>
    </rPh>
    <rPh sb="28" eb="30">
      <t>コウモク</t>
    </rPh>
    <rPh sb="31" eb="33">
      <t>セッテイ</t>
    </rPh>
    <rPh sb="40" eb="42">
      <t>ヘイキン</t>
    </rPh>
    <rPh sb="46" eb="48">
      <t>ヒカク</t>
    </rPh>
    <phoneticPr fontId="1"/>
  </si>
  <si>
    <t>支出データ登録</t>
    <rPh sb="0" eb="2">
      <t>シシュツ</t>
    </rPh>
    <rPh sb="5" eb="7">
      <t>トウロク</t>
    </rPh>
    <phoneticPr fontId="1"/>
  </si>
  <si>
    <t>画面一覧</t>
    <rPh sb="0" eb="4">
      <t>ガメンイチラン</t>
    </rPh>
    <phoneticPr fontId="1"/>
  </si>
  <si>
    <t>ログイン画面</t>
    <rPh sb="4" eb="6">
      <t>ガメン</t>
    </rPh>
    <phoneticPr fontId="1"/>
  </si>
  <si>
    <t>ユーザー登録画面</t>
    <rPh sb="4" eb="8">
      <t>トウロクガメン</t>
    </rPh>
    <phoneticPr fontId="1"/>
  </si>
  <si>
    <t>当月支出確認画面</t>
    <rPh sb="0" eb="2">
      <t>トウゲツ</t>
    </rPh>
    <rPh sb="2" eb="8">
      <t>シシュツカクニンガメン</t>
    </rPh>
    <phoneticPr fontId="1"/>
  </si>
  <si>
    <t>月別支出確認画面</t>
    <rPh sb="0" eb="8">
      <t>ツキベツシシュツカクニンガメン</t>
    </rPh>
    <phoneticPr fontId="1"/>
  </si>
  <si>
    <t>年間支出確認画面</t>
    <rPh sb="0" eb="8">
      <t>ネンカンシシュツカクニンガメン</t>
    </rPh>
    <phoneticPr fontId="1"/>
  </si>
  <si>
    <t>ユーザー設定画面</t>
    <rPh sb="4" eb="8">
      <t>セッテイガメン</t>
    </rPh>
    <phoneticPr fontId="1"/>
  </si>
  <si>
    <t>画面名</t>
    <rPh sb="0" eb="3">
      <t>ガメンメイ</t>
    </rPh>
    <phoneticPr fontId="1"/>
  </si>
  <si>
    <t>画像</t>
    <rPh sb="0" eb="2">
      <t>ガゾウ</t>
    </rPh>
    <phoneticPr fontId="1"/>
  </si>
  <si>
    <t>ログイン画面でユーザー登録を選択した場合に遷移
ユーザー登録を行うとログイン画面に遷移</t>
    <rPh sb="4" eb="6">
      <t>ガメン</t>
    </rPh>
    <rPh sb="11" eb="13">
      <t>トウロク</t>
    </rPh>
    <rPh sb="14" eb="16">
      <t>センタク</t>
    </rPh>
    <rPh sb="18" eb="20">
      <t>バアイ</t>
    </rPh>
    <rPh sb="21" eb="23">
      <t>センイ</t>
    </rPh>
    <rPh sb="28" eb="30">
      <t>トウロク</t>
    </rPh>
    <rPh sb="31" eb="32">
      <t>オコナ</t>
    </rPh>
    <rPh sb="38" eb="40">
      <t>ガメン</t>
    </rPh>
    <rPh sb="41" eb="43">
      <t>センイ</t>
    </rPh>
    <phoneticPr fontId="1"/>
  </si>
  <si>
    <t>初回表示画面
ログインに失敗した場合こちらの画面に再度遷移</t>
    <rPh sb="0" eb="6">
      <t>ショカイヒョウジガメン</t>
    </rPh>
    <rPh sb="12" eb="14">
      <t>シッパイ</t>
    </rPh>
    <rPh sb="16" eb="18">
      <t>バアイ</t>
    </rPh>
    <rPh sb="22" eb="24">
      <t>ガメン</t>
    </rPh>
    <rPh sb="25" eb="27">
      <t>サイド</t>
    </rPh>
    <rPh sb="27" eb="29">
      <t>センイ</t>
    </rPh>
    <phoneticPr fontId="1"/>
  </si>
  <si>
    <t>ログインに成功した場合にこちらに遷移
各画面から戻る場合はこの画面に遷移</t>
    <rPh sb="5" eb="7">
      <t>セイコウ</t>
    </rPh>
    <rPh sb="9" eb="11">
      <t>バアイ</t>
    </rPh>
    <rPh sb="16" eb="18">
      <t>センイ</t>
    </rPh>
    <rPh sb="19" eb="22">
      <t>カクガメン</t>
    </rPh>
    <rPh sb="24" eb="25">
      <t>モド</t>
    </rPh>
    <rPh sb="26" eb="28">
      <t>バアイ</t>
    </rPh>
    <rPh sb="31" eb="33">
      <t>ガメン</t>
    </rPh>
    <rPh sb="34" eb="36">
      <t>センイ</t>
    </rPh>
    <phoneticPr fontId="1"/>
  </si>
  <si>
    <t>支出データ登録画面</t>
    <rPh sb="0" eb="2">
      <t>シシュツ</t>
    </rPh>
    <rPh sb="5" eb="9">
      <t>トウロクガメン</t>
    </rPh>
    <phoneticPr fontId="1"/>
  </si>
  <si>
    <t>支出データを登録する画面
登録後は当月支出確認画面に遷移</t>
    <rPh sb="0" eb="2">
      <t>シシュツ</t>
    </rPh>
    <rPh sb="6" eb="8">
      <t>トウロク</t>
    </rPh>
    <rPh sb="10" eb="12">
      <t>ガメン</t>
    </rPh>
    <rPh sb="13" eb="16">
      <t>トウロクゴ</t>
    </rPh>
    <rPh sb="17" eb="19">
      <t>トウゲツ</t>
    </rPh>
    <rPh sb="19" eb="21">
      <t>シシュツ</t>
    </rPh>
    <rPh sb="21" eb="25">
      <t>カクニンガメン</t>
    </rPh>
    <rPh sb="26" eb="28">
      <t>センイ</t>
    </rPh>
    <phoneticPr fontId="1"/>
  </si>
  <si>
    <t>支出項目の登録</t>
    <rPh sb="0" eb="4">
      <t>シシュツコウモク</t>
    </rPh>
    <rPh sb="5" eb="7">
      <t>トウロク</t>
    </rPh>
    <phoneticPr fontId="1"/>
  </si>
  <si>
    <t>支出項目の登録、修正を行える(管理者のみ)</t>
    <rPh sb="0" eb="4">
      <t>シシュツコウモク</t>
    </rPh>
    <rPh sb="5" eb="7">
      <t>トウロク</t>
    </rPh>
    <rPh sb="8" eb="10">
      <t>シュウセイ</t>
    </rPh>
    <rPh sb="11" eb="12">
      <t>オコナ</t>
    </rPh>
    <rPh sb="15" eb="18">
      <t>カンリシャ</t>
    </rPh>
    <phoneticPr fontId="1"/>
  </si>
  <si>
    <t>支出項目登録画面</t>
    <rPh sb="0" eb="2">
      <t>シシュツ</t>
    </rPh>
    <rPh sb="2" eb="4">
      <t>コウモク</t>
    </rPh>
    <rPh sb="4" eb="8">
      <t>トウロクガメン</t>
    </rPh>
    <phoneticPr fontId="1"/>
  </si>
  <si>
    <t>ユーザーの支出を月別に大項目ごとに表示する画面</t>
    <rPh sb="5" eb="7">
      <t>シシュツ</t>
    </rPh>
    <rPh sb="8" eb="10">
      <t>ツキベツ</t>
    </rPh>
    <rPh sb="11" eb="14">
      <t>ダイコウモク</t>
    </rPh>
    <rPh sb="17" eb="19">
      <t>ヒョウジ</t>
    </rPh>
    <rPh sb="21" eb="23">
      <t>ガメン</t>
    </rPh>
    <phoneticPr fontId="1"/>
  </si>
  <si>
    <t>ユーザーの年間の支出を大項目ごとに表示する画面</t>
    <rPh sb="5" eb="7">
      <t>ネンカン</t>
    </rPh>
    <rPh sb="8" eb="10">
      <t>シシュツ</t>
    </rPh>
    <rPh sb="11" eb="14">
      <t>ダイコウモク</t>
    </rPh>
    <rPh sb="17" eb="19">
      <t>ヒョウジ</t>
    </rPh>
    <rPh sb="21" eb="23">
      <t>ガメン</t>
    </rPh>
    <phoneticPr fontId="1"/>
  </si>
  <si>
    <t>ユーザーの特定の支出項目、収入を設定する画面</t>
    <rPh sb="5" eb="7">
      <t>トクテイ</t>
    </rPh>
    <rPh sb="8" eb="12">
      <t>シシュツコウモク</t>
    </rPh>
    <rPh sb="13" eb="15">
      <t>シュウニュウ</t>
    </rPh>
    <rPh sb="16" eb="18">
      <t>セッテイ</t>
    </rPh>
    <rPh sb="20" eb="22">
      <t>ガメン</t>
    </rPh>
    <phoneticPr fontId="1"/>
  </si>
  <si>
    <t>支出項目比較画面</t>
    <rPh sb="0" eb="2">
      <t>シシュツ</t>
    </rPh>
    <rPh sb="2" eb="4">
      <t>コウモク</t>
    </rPh>
    <rPh sb="4" eb="6">
      <t>ヒカク</t>
    </rPh>
    <rPh sb="6" eb="8">
      <t>ガメン</t>
    </rPh>
    <phoneticPr fontId="1"/>
  </si>
  <si>
    <t>設定した支出項目の比較を表示する画面</t>
    <rPh sb="0" eb="2">
      <t>セッテイ</t>
    </rPh>
    <rPh sb="4" eb="6">
      <t>シシュツ</t>
    </rPh>
    <rPh sb="6" eb="8">
      <t>コウモク</t>
    </rPh>
    <rPh sb="9" eb="11">
      <t>ヒカク</t>
    </rPh>
    <rPh sb="12" eb="14">
      <t>ヒョウジ</t>
    </rPh>
    <rPh sb="16" eb="18">
      <t>ガメン</t>
    </rPh>
    <phoneticPr fontId="1"/>
  </si>
  <si>
    <t>支出項目の登録修正を行う画面
管理者のみ遷移可能</t>
    <rPh sb="0" eb="4">
      <t>シシュツコウモク</t>
    </rPh>
    <rPh sb="5" eb="7">
      <t>トウロク</t>
    </rPh>
    <rPh sb="7" eb="9">
      <t>シュウセイ</t>
    </rPh>
    <rPh sb="10" eb="11">
      <t>オコナ</t>
    </rPh>
    <rPh sb="12" eb="14">
      <t>ガメン</t>
    </rPh>
    <rPh sb="15" eb="18">
      <t>カンリシャ</t>
    </rPh>
    <rPh sb="20" eb="22">
      <t>センイ</t>
    </rPh>
    <rPh sb="22" eb="24">
      <t>カノウ</t>
    </rPh>
    <phoneticPr fontId="1"/>
  </si>
  <si>
    <t>画面遷移図</t>
    <rPh sb="0" eb="5">
      <t>ガメンセンイズ</t>
    </rPh>
    <phoneticPr fontId="1"/>
  </si>
  <si>
    <t>※URLで直接遷移のみ可</t>
    <rPh sb="5" eb="7">
      <t>チョクセツ</t>
    </rPh>
    <rPh sb="7" eb="9">
      <t>センイ</t>
    </rPh>
    <rPh sb="11" eb="12">
      <t>カ</t>
    </rPh>
    <phoneticPr fontId="1"/>
  </si>
  <si>
    <t>users</t>
    <phoneticPr fontId="1"/>
  </si>
  <si>
    <t>UID</t>
    <phoneticPr fontId="1"/>
  </si>
  <si>
    <t>ID</t>
    <phoneticPr fontId="1"/>
  </si>
  <si>
    <t>name</t>
    <phoneticPr fontId="1"/>
  </si>
  <si>
    <t>password</t>
    <phoneticPr fontId="1"/>
  </si>
  <si>
    <t>income</t>
    <phoneticPr fontId="1"/>
  </si>
  <si>
    <t>inv1</t>
    <phoneticPr fontId="1"/>
  </si>
  <si>
    <t>inv2</t>
    <phoneticPr fontId="1"/>
  </si>
  <si>
    <t>sav1</t>
    <phoneticPr fontId="1"/>
  </si>
  <si>
    <t>sav2</t>
    <phoneticPr fontId="1"/>
  </si>
  <si>
    <t>paymentd_data</t>
    <phoneticPr fontId="1"/>
  </si>
  <si>
    <t>type1</t>
    <phoneticPr fontId="1"/>
  </si>
  <si>
    <t>type2</t>
    <phoneticPr fontId="1"/>
  </si>
  <si>
    <t>message</t>
    <phoneticPr fontId="1"/>
  </si>
  <si>
    <t>price</t>
    <phoneticPr fontId="1"/>
  </si>
  <si>
    <t>date</t>
    <phoneticPr fontId="1"/>
  </si>
  <si>
    <t>createdate</t>
    <phoneticPr fontId="1"/>
  </si>
  <si>
    <t>No</t>
    <phoneticPr fontId="1"/>
  </si>
  <si>
    <t>payment_type</t>
    <phoneticPr fontId="1"/>
  </si>
  <si>
    <t>Createdate</t>
    <phoneticPr fontId="1"/>
  </si>
  <si>
    <t>del_flag</t>
    <phoneticPr fontId="1"/>
  </si>
  <si>
    <t>primary</t>
    <phoneticPr fontId="1"/>
  </si>
  <si>
    <t>〇</t>
    <phoneticPr fontId="1"/>
  </si>
  <si>
    <t>type</t>
    <phoneticPr fontId="1"/>
  </si>
  <si>
    <t>column_name</t>
    <phoneticPr fontId="1"/>
  </si>
  <si>
    <t>timesamp</t>
  </si>
  <si>
    <t>timesamp</t>
    <phoneticPr fontId="1"/>
  </si>
  <si>
    <t>varchar</t>
  </si>
  <si>
    <t>varchar</t>
    <phoneticPr fontId="1"/>
  </si>
  <si>
    <t>int</t>
    <phoneticPr fontId="1"/>
  </si>
  <si>
    <t>boolean</t>
    <phoneticPr fontId="1"/>
  </si>
  <si>
    <t>同程度の収入の他ユーザーとの比較</t>
    <rPh sb="0" eb="3">
      <t>ドウテイド</t>
    </rPh>
    <rPh sb="4" eb="6">
      <t>シュウニュウ</t>
    </rPh>
    <rPh sb="7" eb="8">
      <t>タ</t>
    </rPh>
    <rPh sb="14" eb="16">
      <t>ヒカク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</si>
</sst>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0" xfId="0" applyFont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3" xfId="0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479164</xdr:colOff>
      <xdr:row>6</xdr:row>
      <xdr:rowOff>33393</xdr:rowOff>
    </xdr:from>
    <xdr:to>
      <xdr:col>6</xdr:col>
      <xdr:colOff>488129</xdr:colOff>
      <xdr:row>14</xdr:row>
      <xdr:rowOff>98617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EE2057F9-8557-3F0B-1B17-7FB7437E2E1D}"/>
            </a:ext>
          </a:extLst>
        </xdr:cNvPr>
        <xdr:cNvCxnSpPr>
          <a:stCxn id="19" idx="2"/>
          <a:endCxn id="5" idx="0"/>
        </xdr:cNvCxnSpPr>
      </xdr:nvCxnSpPr>
      <xdr:spPr>
        <a:xfrm>
          <a:off x="4513282" y="1664969"/>
          <a:ext cx="8965" cy="192988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542365</xdr:colOff>
      <xdr:row>14</xdr:row>
      <xdr:rowOff>98617</xdr:rowOff>
    </xdr:from>
    <xdr:to>
      <xdr:col>8</xdr:col>
      <xdr:colOff>433892</xdr:colOff>
      <xdr:row>19</xdr:row>
      <xdr:rowOff>63655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78F0336-5A2B-412C-A56C-5E1CF14407FA}"/>
            </a:ext>
          </a:extLst>
        </xdr:cNvPr>
        <xdr:cNvSpPr/>
      </xdr:nvSpPr>
      <xdr:spPr>
        <a:xfrm>
          <a:off x="3231777" y="3594852"/>
          <a:ext cx="2580939" cy="11304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当月支出確認画面</a:t>
          </a:r>
        </a:p>
      </xdr:txBody>
    </xdr:sp>
    <xdr:clientData/>
  </xdr:twoCellAnchor>
  <xdr:twoCellAnchor>
    <xdr:from>
      <xdr:col>11</xdr:col>
      <xdr:colOff>6724</xdr:colOff>
      <xdr:row>1</xdr:row>
      <xdr:rowOff>66114</xdr:rowOff>
    </xdr:from>
    <xdr:to>
      <xdr:col>14</xdr:col>
      <xdr:colOff>570604</xdr:colOff>
      <xdr:row>6</xdr:row>
      <xdr:rowOff>31152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F78F6BF-E75B-42B3-ADFB-F253B7A9430F}"/>
            </a:ext>
          </a:extLst>
        </xdr:cNvPr>
        <xdr:cNvSpPr/>
      </xdr:nvSpPr>
      <xdr:spPr>
        <a:xfrm>
          <a:off x="7402606" y="532279"/>
          <a:ext cx="2580939" cy="1130449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ユーザー登録画面</a:t>
          </a:r>
          <a:endParaRPr kumimoji="1" lang="en-US" altLang="ja-JP" sz="11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6724</xdr:colOff>
      <xdr:row>7</xdr:row>
      <xdr:rowOff>162701</xdr:rowOff>
    </xdr:from>
    <xdr:to>
      <xdr:col>14</xdr:col>
      <xdr:colOff>570604</xdr:colOff>
      <xdr:row>12</xdr:row>
      <xdr:rowOff>135358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15C48B9-BBE5-441B-8C86-90021F997A51}"/>
            </a:ext>
          </a:extLst>
        </xdr:cNvPr>
        <xdr:cNvSpPr/>
      </xdr:nvSpPr>
      <xdr:spPr>
        <a:xfrm>
          <a:off x="7402606" y="2027360"/>
          <a:ext cx="2580939" cy="1138069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月別支出確認画面</a:t>
          </a:r>
        </a:p>
      </xdr:txBody>
    </xdr:sp>
    <xdr:clientData/>
  </xdr:twoCellAnchor>
  <xdr:twoCellAnchor>
    <xdr:from>
      <xdr:col>11</xdr:col>
      <xdr:colOff>5827</xdr:colOff>
      <xdr:row>14</xdr:row>
      <xdr:rowOff>135809</xdr:rowOff>
    </xdr:from>
    <xdr:to>
      <xdr:col>14</xdr:col>
      <xdr:colOff>571500</xdr:colOff>
      <xdr:row>19</xdr:row>
      <xdr:rowOff>112949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C49A5DC-0DB5-47F3-B902-E51219EF3CA0}"/>
            </a:ext>
          </a:extLst>
        </xdr:cNvPr>
        <xdr:cNvSpPr/>
      </xdr:nvSpPr>
      <xdr:spPr>
        <a:xfrm>
          <a:off x="7401709" y="3632044"/>
          <a:ext cx="2582732" cy="114255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年間支出確認画面</a:t>
          </a:r>
        </a:p>
      </xdr:txBody>
    </xdr:sp>
    <xdr:clientData/>
  </xdr:twoCellAnchor>
  <xdr:twoCellAnchor>
    <xdr:from>
      <xdr:col>0</xdr:col>
      <xdr:colOff>62753</xdr:colOff>
      <xdr:row>14</xdr:row>
      <xdr:rowOff>62758</xdr:rowOff>
    </xdr:from>
    <xdr:to>
      <xdr:col>3</xdr:col>
      <xdr:colOff>626633</xdr:colOff>
      <xdr:row>19</xdr:row>
      <xdr:rowOff>27796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BA2A7B3-8827-422E-BA27-FC8F194D8883}"/>
            </a:ext>
          </a:extLst>
        </xdr:cNvPr>
        <xdr:cNvSpPr/>
      </xdr:nvSpPr>
      <xdr:spPr>
        <a:xfrm>
          <a:off x="62753" y="3558993"/>
          <a:ext cx="2580939" cy="11304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支出データ登録画面</a:t>
          </a:r>
          <a:endParaRPr kumimoji="1" lang="en-US" altLang="ja-JP" sz="11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6724</xdr:colOff>
      <xdr:row>22</xdr:row>
      <xdr:rowOff>26891</xdr:rowOff>
    </xdr:from>
    <xdr:to>
      <xdr:col>14</xdr:col>
      <xdr:colOff>570604</xdr:colOff>
      <xdr:row>26</xdr:row>
      <xdr:rowOff>225010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D59B516-C114-43EA-AA80-14D3458257A5}"/>
            </a:ext>
          </a:extLst>
        </xdr:cNvPr>
        <xdr:cNvSpPr/>
      </xdr:nvSpPr>
      <xdr:spPr>
        <a:xfrm>
          <a:off x="7402606" y="5387785"/>
          <a:ext cx="2580939" cy="1130449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支出項目比較画面</a:t>
          </a:r>
        </a:p>
      </xdr:txBody>
    </xdr:sp>
    <xdr:clientData/>
  </xdr:twoCellAnchor>
  <xdr:twoCellAnchor>
    <xdr:from>
      <xdr:col>4</xdr:col>
      <xdr:colOff>533400</xdr:colOff>
      <xdr:row>1</xdr:row>
      <xdr:rowOff>63873</xdr:rowOff>
    </xdr:from>
    <xdr:to>
      <xdr:col>8</xdr:col>
      <xdr:colOff>424927</xdr:colOff>
      <xdr:row>6</xdr:row>
      <xdr:rowOff>33393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3C074C4-8C3D-0077-F79A-EEA18726BE28}"/>
            </a:ext>
          </a:extLst>
        </xdr:cNvPr>
        <xdr:cNvSpPr/>
      </xdr:nvSpPr>
      <xdr:spPr>
        <a:xfrm>
          <a:off x="3222812" y="530038"/>
          <a:ext cx="2580939" cy="1134931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ログイン画面</a:t>
          </a:r>
          <a:endParaRPr kumimoji="1" lang="en-US" altLang="ja-JP" sz="11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542364</xdr:colOff>
      <xdr:row>23</xdr:row>
      <xdr:rowOff>35864</xdr:rowOff>
    </xdr:from>
    <xdr:to>
      <xdr:col>8</xdr:col>
      <xdr:colOff>433891</xdr:colOff>
      <xdr:row>28</xdr:row>
      <xdr:rowOff>5383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1550E7F-D700-4FAF-B002-99613ED653BE}"/>
            </a:ext>
          </a:extLst>
        </xdr:cNvPr>
        <xdr:cNvSpPr/>
      </xdr:nvSpPr>
      <xdr:spPr>
        <a:xfrm>
          <a:off x="3231776" y="5629840"/>
          <a:ext cx="2580939" cy="1134931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ユーザー設定画面</a:t>
          </a:r>
          <a:endParaRPr kumimoji="1" lang="en-US" altLang="ja-JP" sz="11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322730</xdr:colOff>
      <xdr:row>39</xdr:row>
      <xdr:rowOff>188260</xdr:rowOff>
    </xdr:from>
    <xdr:to>
      <xdr:col>5</xdr:col>
      <xdr:colOff>214257</xdr:colOff>
      <xdr:row>44</xdr:row>
      <xdr:rowOff>157779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2F2CA98-C623-4502-B2FD-FC06534C9D57}"/>
            </a:ext>
          </a:extLst>
        </xdr:cNvPr>
        <xdr:cNvSpPr/>
      </xdr:nvSpPr>
      <xdr:spPr>
        <a:xfrm>
          <a:off x="995083" y="9511554"/>
          <a:ext cx="2580939" cy="1134931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ln>
                <a:noFill/>
              </a:ln>
              <a:solidFill>
                <a:sysClr val="windowText" lastClr="000000"/>
              </a:solidFill>
            </a:rPr>
            <a:t>支出項目登録画面</a:t>
          </a:r>
          <a:endParaRPr kumimoji="1" lang="en-US" altLang="ja-JP" sz="11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421341</xdr:colOff>
      <xdr:row>2</xdr:row>
      <xdr:rowOff>89647</xdr:rowOff>
    </xdr:from>
    <xdr:to>
      <xdr:col>11</xdr:col>
      <xdr:colOff>17930</xdr:colOff>
      <xdr:row>2</xdr:row>
      <xdr:rowOff>89647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46681546-CD23-4B5D-AB1B-EBEB4518A4C9}"/>
            </a:ext>
          </a:extLst>
        </xdr:cNvPr>
        <xdr:cNvCxnSpPr/>
      </xdr:nvCxnSpPr>
      <xdr:spPr>
        <a:xfrm>
          <a:off x="5800165" y="788894"/>
          <a:ext cx="161364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421341</xdr:colOff>
      <xdr:row>4</xdr:row>
      <xdr:rowOff>134470</xdr:rowOff>
    </xdr:from>
    <xdr:to>
      <xdr:col>11</xdr:col>
      <xdr:colOff>0</xdr:colOff>
      <xdr:row>4</xdr:row>
      <xdr:rowOff>134470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9A3DA491-08CF-49E2-854B-6FF76AA87E66}"/>
            </a:ext>
          </a:extLst>
        </xdr:cNvPr>
        <xdr:cNvCxnSpPr/>
      </xdr:nvCxnSpPr>
      <xdr:spPr>
        <a:xfrm flipH="1">
          <a:off x="5800165" y="1299882"/>
          <a:ext cx="159571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618565</xdr:colOff>
      <xdr:row>16</xdr:row>
      <xdr:rowOff>26894</xdr:rowOff>
    </xdr:from>
    <xdr:to>
      <xdr:col>4</xdr:col>
      <xdr:colOff>537882</xdr:colOff>
      <xdr:row>16</xdr:row>
      <xdr:rowOff>35859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EF1B791D-A7C8-42D3-886B-3989DCFFCC4B}"/>
            </a:ext>
          </a:extLst>
        </xdr:cNvPr>
        <xdr:cNvCxnSpPr/>
      </xdr:nvCxnSpPr>
      <xdr:spPr>
        <a:xfrm flipH="1">
          <a:off x="2635624" y="3989294"/>
          <a:ext cx="591670" cy="89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645459</xdr:colOff>
      <xdr:row>17</xdr:row>
      <xdr:rowOff>71718</xdr:rowOff>
    </xdr:from>
    <xdr:to>
      <xdr:col>4</xdr:col>
      <xdr:colOff>555812</xdr:colOff>
      <xdr:row>17</xdr:row>
      <xdr:rowOff>80683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A2446C25-E955-4221-8D61-EAC883103E5D}"/>
            </a:ext>
          </a:extLst>
        </xdr:cNvPr>
        <xdr:cNvCxnSpPr/>
      </xdr:nvCxnSpPr>
      <xdr:spPr>
        <a:xfrm flipV="1">
          <a:off x="2662518" y="4267200"/>
          <a:ext cx="582706" cy="89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654423</xdr:colOff>
      <xdr:row>19</xdr:row>
      <xdr:rowOff>71718</xdr:rowOff>
    </xdr:from>
    <xdr:to>
      <xdr:col>5</xdr:col>
      <xdr:colOff>663388</xdr:colOff>
      <xdr:row>23</xdr:row>
      <xdr:rowOff>44824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7D517603-FB83-4592-830C-EE8CB2416BD9}"/>
            </a:ext>
          </a:extLst>
        </xdr:cNvPr>
        <xdr:cNvCxnSpPr/>
      </xdr:nvCxnSpPr>
      <xdr:spPr>
        <a:xfrm>
          <a:off x="4016188" y="4733365"/>
          <a:ext cx="8965" cy="90543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134470</xdr:colOff>
      <xdr:row>19</xdr:row>
      <xdr:rowOff>62753</xdr:rowOff>
    </xdr:from>
    <xdr:to>
      <xdr:col>7</xdr:col>
      <xdr:colOff>143435</xdr:colOff>
      <xdr:row>23</xdr:row>
      <xdr:rowOff>44824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8B394D45-935A-4878-8586-F7D6C9766A87}"/>
            </a:ext>
          </a:extLst>
        </xdr:cNvPr>
        <xdr:cNvCxnSpPr/>
      </xdr:nvCxnSpPr>
      <xdr:spPr>
        <a:xfrm flipH="1" flipV="1">
          <a:off x="4840941" y="4724400"/>
          <a:ext cx="8965" cy="9144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412376</xdr:colOff>
      <xdr:row>8</xdr:row>
      <xdr:rowOff>197224</xdr:rowOff>
    </xdr:from>
    <xdr:to>
      <xdr:col>11</xdr:col>
      <xdr:colOff>8965</xdr:colOff>
      <xdr:row>15</xdr:row>
      <xdr:rowOff>26894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A08E978B-FA29-478E-80A4-0A9E054E33F9}"/>
            </a:ext>
          </a:extLst>
        </xdr:cNvPr>
        <xdr:cNvCxnSpPr/>
      </xdr:nvCxnSpPr>
      <xdr:spPr>
        <a:xfrm flipV="1">
          <a:off x="5791200" y="2294965"/>
          <a:ext cx="1613647" cy="14612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421341</xdr:colOff>
      <xdr:row>10</xdr:row>
      <xdr:rowOff>32489</xdr:rowOff>
    </xdr:from>
    <xdr:to>
      <xdr:col>11</xdr:col>
      <xdr:colOff>6724</xdr:colOff>
      <xdr:row>16</xdr:row>
      <xdr:rowOff>44824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C712208-28A7-4108-B233-F170DB8A90FD}"/>
            </a:ext>
          </a:extLst>
        </xdr:cNvPr>
        <xdr:cNvCxnSpPr>
          <a:stCxn id="7" idx="1"/>
        </xdr:cNvCxnSpPr>
      </xdr:nvCxnSpPr>
      <xdr:spPr>
        <a:xfrm flipH="1">
          <a:off x="5800165" y="2596395"/>
          <a:ext cx="1602441" cy="14108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403411</xdr:colOff>
      <xdr:row>16</xdr:row>
      <xdr:rowOff>125506</xdr:rowOff>
    </xdr:from>
    <xdr:to>
      <xdr:col>11</xdr:col>
      <xdr:colOff>17930</xdr:colOff>
      <xdr:row>16</xdr:row>
      <xdr:rowOff>161365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A69F39BF-3D51-4F84-8AED-4326F718E78C}"/>
            </a:ext>
          </a:extLst>
        </xdr:cNvPr>
        <xdr:cNvCxnSpPr/>
      </xdr:nvCxnSpPr>
      <xdr:spPr>
        <a:xfrm flipH="1">
          <a:off x="5782235" y="4087906"/>
          <a:ext cx="1631577" cy="3585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430305</xdr:colOff>
      <xdr:row>17</xdr:row>
      <xdr:rowOff>197224</xdr:rowOff>
    </xdr:from>
    <xdr:to>
      <xdr:col>11</xdr:col>
      <xdr:colOff>35859</xdr:colOff>
      <xdr:row>17</xdr:row>
      <xdr:rowOff>206189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40F06DC0-9223-465F-9F85-DB21C5A3462C}"/>
            </a:ext>
          </a:extLst>
        </xdr:cNvPr>
        <xdr:cNvCxnSpPr/>
      </xdr:nvCxnSpPr>
      <xdr:spPr>
        <a:xfrm flipV="1">
          <a:off x="5809129" y="4392706"/>
          <a:ext cx="1622612" cy="89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430305</xdr:colOff>
      <xdr:row>18</xdr:row>
      <xdr:rowOff>98611</xdr:rowOff>
    </xdr:from>
    <xdr:to>
      <xdr:col>11</xdr:col>
      <xdr:colOff>8965</xdr:colOff>
      <xdr:row>23</xdr:row>
      <xdr:rowOff>80683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D6271161-2E3C-4700-91AD-FB2F108A65F0}"/>
            </a:ext>
          </a:extLst>
        </xdr:cNvPr>
        <xdr:cNvCxnSpPr/>
      </xdr:nvCxnSpPr>
      <xdr:spPr>
        <a:xfrm flipH="1" flipV="1">
          <a:off x="5809129" y="4527176"/>
          <a:ext cx="1595718" cy="114748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107576</xdr:colOff>
      <xdr:row>19</xdr:row>
      <xdr:rowOff>80682</xdr:rowOff>
    </xdr:from>
    <xdr:to>
      <xdr:col>11</xdr:col>
      <xdr:colOff>17930</xdr:colOff>
      <xdr:row>25</xdr:row>
      <xdr:rowOff>188259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4734A1BC-BC13-40FB-A705-134924E2F1EA}"/>
            </a:ext>
          </a:extLst>
        </xdr:cNvPr>
        <xdr:cNvCxnSpPr/>
      </xdr:nvCxnSpPr>
      <xdr:spPr>
        <a:xfrm>
          <a:off x="5486400" y="4742329"/>
          <a:ext cx="1927412" cy="150607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251012</xdr:colOff>
      <xdr:row>12</xdr:row>
      <xdr:rowOff>143435</xdr:rowOff>
    </xdr:from>
    <xdr:to>
      <xdr:col>12</xdr:col>
      <xdr:colOff>259976</xdr:colOff>
      <xdr:row>14</xdr:row>
      <xdr:rowOff>125506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16142F31-5C20-433E-8259-FEEC88035982}"/>
            </a:ext>
          </a:extLst>
        </xdr:cNvPr>
        <xdr:cNvCxnSpPr/>
      </xdr:nvCxnSpPr>
      <xdr:spPr>
        <a:xfrm flipH="1">
          <a:off x="8319247" y="3173506"/>
          <a:ext cx="8964" cy="44823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358588</xdr:colOff>
      <xdr:row>12</xdr:row>
      <xdr:rowOff>125505</xdr:rowOff>
    </xdr:from>
    <xdr:to>
      <xdr:col>13</xdr:col>
      <xdr:colOff>367553</xdr:colOff>
      <xdr:row>14</xdr:row>
      <xdr:rowOff>134471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FFA763AD-C311-4E1E-9CD0-008D03B518B1}"/>
            </a:ext>
          </a:extLst>
        </xdr:cNvPr>
        <xdr:cNvCxnSpPr/>
      </xdr:nvCxnSpPr>
      <xdr:spPr>
        <a:xfrm flipV="1">
          <a:off x="9099176" y="3155576"/>
          <a:ext cx="8965" cy="47513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224118</xdr:colOff>
      <xdr:row>19</xdr:row>
      <xdr:rowOff>125506</xdr:rowOff>
    </xdr:from>
    <xdr:to>
      <xdr:col>12</xdr:col>
      <xdr:colOff>233083</xdr:colOff>
      <xdr:row>22</xdr:row>
      <xdr:rowOff>8965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EDC1DC1F-7B7A-434B-8897-8DDD76DC1DA7}"/>
            </a:ext>
          </a:extLst>
        </xdr:cNvPr>
        <xdr:cNvCxnSpPr/>
      </xdr:nvCxnSpPr>
      <xdr:spPr>
        <a:xfrm flipH="1">
          <a:off x="8292353" y="4787153"/>
          <a:ext cx="8965" cy="58270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385483</xdr:colOff>
      <xdr:row>19</xdr:row>
      <xdr:rowOff>116541</xdr:rowOff>
    </xdr:from>
    <xdr:to>
      <xdr:col>13</xdr:col>
      <xdr:colOff>385483</xdr:colOff>
      <xdr:row>22</xdr:row>
      <xdr:rowOff>35859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F789F7F4-7802-4243-8276-A695EB74C085}"/>
            </a:ext>
          </a:extLst>
        </xdr:cNvPr>
        <xdr:cNvCxnSpPr/>
      </xdr:nvCxnSpPr>
      <xdr:spPr>
        <a:xfrm flipV="1">
          <a:off x="9126071" y="4778188"/>
          <a:ext cx="0" cy="6185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570604</xdr:colOff>
      <xdr:row>10</xdr:row>
      <xdr:rowOff>32489</xdr:rowOff>
    </xdr:from>
    <xdr:to>
      <xdr:col>14</xdr:col>
      <xdr:colOff>583304</xdr:colOff>
      <xdr:row>24</xdr:row>
      <xdr:rowOff>125951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5964158F-D6A1-C4A8-8496-68921C7B245C}"/>
            </a:ext>
          </a:extLst>
        </xdr:cNvPr>
        <xdr:cNvCxnSpPr>
          <a:stCxn id="7" idx="3"/>
          <a:endCxn id="11" idx="3"/>
        </xdr:cNvCxnSpPr>
      </xdr:nvCxnSpPr>
      <xdr:spPr>
        <a:xfrm>
          <a:off x="9983545" y="2596395"/>
          <a:ext cx="12700" cy="3356615"/>
        </a:xfrm>
        <a:prstGeom prst="bentConnector3">
          <a:avLst>
            <a:gd name="adj1" fmla="val 737646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570604</xdr:colOff>
      <xdr:row>9</xdr:row>
      <xdr:rowOff>14559</xdr:rowOff>
    </xdr:from>
    <xdr:to>
      <xdr:col>14</xdr:col>
      <xdr:colOff>583304</xdr:colOff>
      <xdr:row>23</xdr:row>
      <xdr:rowOff>108022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88B796C9-91A0-4286-AA93-E2EE12682446}"/>
            </a:ext>
          </a:extLst>
        </xdr:cNvPr>
        <xdr:cNvCxnSpPr/>
      </xdr:nvCxnSpPr>
      <xdr:spPr>
        <a:xfrm flipV="1">
          <a:off x="9983545" y="2345383"/>
          <a:ext cx="12700" cy="3356615"/>
        </a:xfrm>
        <a:prstGeom prst="bentConnector3">
          <a:avLst>
            <a:gd name="adj1" fmla="val 511764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206188</xdr:colOff>
      <xdr:row>44</xdr:row>
      <xdr:rowOff>19273</xdr:rowOff>
    </xdr:from>
    <xdr:to>
      <xdr:col>6</xdr:col>
      <xdr:colOff>215153</xdr:colOff>
      <xdr:row>44</xdr:row>
      <xdr:rowOff>28238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3C4215E2-20B9-F55A-28B0-9C66A3EC3AFE}"/>
            </a:ext>
          </a:extLst>
        </xdr:cNvPr>
        <xdr:cNvCxnSpPr/>
      </xdr:nvCxnSpPr>
      <xdr:spPr>
        <a:xfrm flipH="1" flipV="1">
          <a:off x="3567953" y="10507979"/>
          <a:ext cx="681318" cy="89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215153</xdr:colOff>
      <xdr:row>40</xdr:row>
      <xdr:rowOff>143436</xdr:rowOff>
    </xdr:from>
    <xdr:to>
      <xdr:col>6</xdr:col>
      <xdr:colOff>242047</xdr:colOff>
      <xdr:row>40</xdr:row>
      <xdr:rowOff>143436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A0EB32B2-5F1B-F3FF-E06A-57F9FE00E6CD}"/>
            </a:ext>
          </a:extLst>
        </xdr:cNvPr>
        <xdr:cNvCxnSpPr/>
      </xdr:nvCxnSpPr>
      <xdr:spPr>
        <a:xfrm>
          <a:off x="3576918" y="9699812"/>
          <a:ext cx="69924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206188</xdr:colOff>
      <xdr:row>40</xdr:row>
      <xdr:rowOff>134471</xdr:rowOff>
    </xdr:from>
    <xdr:to>
      <xdr:col>6</xdr:col>
      <xdr:colOff>215153</xdr:colOff>
      <xdr:row>44</xdr:row>
      <xdr:rowOff>26894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4D67E385-1A46-48AF-99CA-1F9145F2C3F5}"/>
            </a:ext>
          </a:extLst>
        </xdr:cNvPr>
        <xdr:cNvCxnSpPr/>
      </xdr:nvCxnSpPr>
      <xdr:spPr>
        <a:xfrm flipH="1">
          <a:off x="4240306" y="9690847"/>
          <a:ext cx="8965" cy="8247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121920</xdr:rowOff>
    </xdr:from>
    <xdr:to>
      <xdr:col>13</xdr:col>
      <xdr:colOff>655320</xdr:colOff>
      <xdr:row>4</xdr:row>
      <xdr:rowOff>137160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076F8EEE-2EED-28F7-4A72-731438841D26}"/>
            </a:ext>
          </a:extLst>
        </xdr:cNvPr>
        <xdr:cNvCxnSpPr/>
      </xdr:nvCxnSpPr>
      <xdr:spPr>
        <a:xfrm>
          <a:off x="7520940" y="822960"/>
          <a:ext cx="2667000" cy="243840"/>
        </a:xfrm>
        <a:prstGeom prst="bentConnector3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114300</xdr:rowOff>
    </xdr:from>
    <xdr:to>
      <xdr:col>13</xdr:col>
      <xdr:colOff>655320</xdr:colOff>
      <xdr:row>5</xdr:row>
      <xdr:rowOff>129540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3851F911-21B4-486E-9E65-877535C3565F}"/>
            </a:ext>
          </a:extLst>
        </xdr:cNvPr>
        <xdr:cNvCxnSpPr/>
      </xdr:nvCxnSpPr>
      <xdr:spPr>
        <a:xfrm>
          <a:off x="7520940" y="1043940"/>
          <a:ext cx="2667000" cy="243840"/>
        </a:xfrm>
        <a:prstGeom prst="bentConnector3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662940</xdr:colOff>
      <xdr:row>5</xdr:row>
      <xdr:rowOff>137160</xdr:rowOff>
    </xdr:from>
    <xdr:to>
      <xdr:col>13</xdr:col>
      <xdr:colOff>647700</xdr:colOff>
      <xdr:row>6</xdr:row>
      <xdr:rowOff>152400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5CE05E4D-9156-4CA2-B713-B8668FE84B2A}"/>
            </a:ext>
          </a:extLst>
        </xdr:cNvPr>
        <xdr:cNvCxnSpPr/>
      </xdr:nvCxnSpPr>
      <xdr:spPr>
        <a:xfrm>
          <a:off x="7513320" y="1295400"/>
          <a:ext cx="2667000" cy="243840"/>
        </a:xfrm>
        <a:prstGeom prst="bentConnector3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883920</xdr:colOff>
      <xdr:row>0</xdr:row>
      <xdr:rowOff>121920</xdr:rowOff>
    </xdr:from>
    <xdr:to>
      <xdr:col>12</xdr:col>
      <xdr:colOff>304800</xdr:colOff>
      <xdr:row>3</xdr:row>
      <xdr:rowOff>160020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19EB8126-4CF1-5CD6-E3E3-562D36509E83}"/>
            </a:ext>
          </a:extLst>
        </xdr:cNvPr>
        <xdr:cNvCxnSpPr/>
      </xdr:nvCxnSpPr>
      <xdr:spPr>
        <a:xfrm flipV="1">
          <a:off x="3154680" y="121920"/>
          <a:ext cx="6012180" cy="739140"/>
        </a:xfrm>
        <a:prstGeom prst="bentConnector3">
          <a:avLst>
            <a:gd name="adj1" fmla="val 275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297180</xdr:colOff>
      <xdr:row>0</xdr:row>
      <xdr:rowOff>137160</xdr:rowOff>
    </xdr:from>
    <xdr:to>
      <xdr:col>12</xdr:col>
      <xdr:colOff>304800</xdr:colOff>
      <xdr:row>3</xdr:row>
      <xdr:rowOff>137160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B3EF6B60-6D6A-5250-590E-35527C157AF7}"/>
            </a:ext>
          </a:extLst>
        </xdr:cNvPr>
        <xdr:cNvCxnSpPr/>
      </xdr:nvCxnSpPr>
      <xdr:spPr>
        <a:xfrm flipH="1">
          <a:off x="9159240" y="137160"/>
          <a:ext cx="7620" cy="7010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3</xdr:row>
      <xdr:rowOff>129540</xdr:rowOff>
    </xdr:from>
    <xdr:to>
      <xdr:col>13</xdr:col>
      <xdr:colOff>662940</xdr:colOff>
      <xdr:row>3</xdr:row>
      <xdr:rowOff>129540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71ED9B07-D930-44CF-800E-4A92B9342D52}"/>
            </a:ext>
          </a:extLst>
        </xdr:cNvPr>
        <xdr:cNvCxnSpPr/>
      </xdr:nvCxnSpPr>
      <xdr:spPr>
        <a:xfrm flipH="1">
          <a:off x="9166860" y="830580"/>
          <a:ext cx="10287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F829-0CAB-493B-874D-409E33064D3E}">
  <dimension ref="A1:C11"/>
  <sheetViews>
    <sheetView tabSelected="1" workbookViewId="0"/>
  </sheetViews>
  <sheetFormatPr defaultRowHeight="18" x14ac:dyDescent="0.45"/>
  <cols>
    <col min="2" max="2" width="45.69921875" bestFit="1" customWidth="1"/>
    <col min="3" max="3" width="65.59765625" style="1" customWidth="1"/>
  </cols>
  <sheetData>
    <row r="1" spans="1:3" ht="18.600000000000001" thickBot="1" x14ac:dyDescent="0.5"/>
    <row r="2" spans="1:3" ht="18.600000000000001" thickBot="1" x14ac:dyDescent="0.5">
      <c r="A2" s="6" t="s">
        <v>0</v>
      </c>
      <c r="B2" s="5" t="s">
        <v>1</v>
      </c>
      <c r="C2" s="4" t="s">
        <v>2</v>
      </c>
    </row>
    <row r="3" spans="1:3" x14ac:dyDescent="0.45">
      <c r="A3" s="7">
        <v>1</v>
      </c>
      <c r="B3" s="11" t="s">
        <v>3</v>
      </c>
      <c r="C3" s="12" t="s">
        <v>4</v>
      </c>
    </row>
    <row r="4" spans="1:3" x14ac:dyDescent="0.45">
      <c r="A4" s="8">
        <f>A3+1</f>
        <v>2</v>
      </c>
      <c r="B4" s="13" t="s">
        <v>17</v>
      </c>
      <c r="C4" s="14" t="s">
        <v>5</v>
      </c>
    </row>
    <row r="5" spans="1:3" x14ac:dyDescent="0.45">
      <c r="A5" s="8">
        <f t="shared" ref="A5:A11" si="0">A4+1</f>
        <v>3</v>
      </c>
      <c r="B5" s="13" t="s">
        <v>6</v>
      </c>
      <c r="C5" s="14" t="s">
        <v>7</v>
      </c>
    </row>
    <row r="6" spans="1:3" x14ac:dyDescent="0.45">
      <c r="A6" s="8">
        <f t="shared" si="0"/>
        <v>4</v>
      </c>
      <c r="B6" s="13" t="s">
        <v>8</v>
      </c>
      <c r="C6" s="14" t="s">
        <v>9</v>
      </c>
    </row>
    <row r="7" spans="1:3" x14ac:dyDescent="0.45">
      <c r="A7" s="8">
        <f t="shared" si="0"/>
        <v>5</v>
      </c>
      <c r="B7" s="13" t="s">
        <v>10</v>
      </c>
      <c r="C7" s="14" t="s">
        <v>11</v>
      </c>
    </row>
    <row r="8" spans="1:3" x14ac:dyDescent="0.45">
      <c r="A8" s="8">
        <f t="shared" si="0"/>
        <v>6</v>
      </c>
      <c r="B8" s="13" t="s">
        <v>12</v>
      </c>
      <c r="C8" s="14" t="s">
        <v>13</v>
      </c>
    </row>
    <row r="9" spans="1:3" x14ac:dyDescent="0.45">
      <c r="A9" s="8">
        <f t="shared" si="0"/>
        <v>7</v>
      </c>
      <c r="B9" s="13" t="s">
        <v>74</v>
      </c>
      <c r="C9" s="14" t="s">
        <v>14</v>
      </c>
    </row>
    <row r="10" spans="1:3" ht="36" x14ac:dyDescent="0.45">
      <c r="A10" s="8">
        <f t="shared" si="0"/>
        <v>8</v>
      </c>
      <c r="B10" s="13" t="s">
        <v>15</v>
      </c>
      <c r="C10" s="14" t="s">
        <v>16</v>
      </c>
    </row>
    <row r="11" spans="1:3" ht="18.600000000000001" thickBot="1" x14ac:dyDescent="0.5">
      <c r="A11" s="9">
        <f t="shared" si="0"/>
        <v>9</v>
      </c>
      <c r="B11" s="15" t="s">
        <v>32</v>
      </c>
      <c r="C11" s="16" t="s">
        <v>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28E9-44D3-4EC2-8F9B-371269CBF7A3}">
  <dimension ref="A1:D12"/>
  <sheetViews>
    <sheetView topLeftCell="A3" workbookViewId="0">
      <selection activeCell="B12" sqref="B12"/>
    </sheetView>
  </sheetViews>
  <sheetFormatPr defaultRowHeight="18" x14ac:dyDescent="0.45"/>
  <cols>
    <col min="2" max="2" width="18.19921875" bestFit="1" customWidth="1"/>
    <col min="3" max="3" width="38.3984375" customWidth="1"/>
    <col min="4" max="4" width="30.5" customWidth="1"/>
  </cols>
  <sheetData>
    <row r="1" spans="1:4" ht="36.6" x14ac:dyDescent="0.45">
      <c r="A1" s="10" t="s">
        <v>18</v>
      </c>
    </row>
    <row r="3" spans="1:4" x14ac:dyDescent="0.45">
      <c r="A3" s="2" t="s">
        <v>0</v>
      </c>
      <c r="B3" s="2" t="s">
        <v>25</v>
      </c>
      <c r="C3" s="2" t="s">
        <v>26</v>
      </c>
      <c r="D3" s="2" t="s">
        <v>2</v>
      </c>
    </row>
    <row r="4" spans="1:4" ht="78" customHeight="1" x14ac:dyDescent="0.45">
      <c r="A4" s="2">
        <v>1</v>
      </c>
      <c r="B4" s="2" t="s">
        <v>19</v>
      </c>
      <c r="C4" s="2"/>
      <c r="D4" s="3" t="s">
        <v>28</v>
      </c>
    </row>
    <row r="5" spans="1:4" ht="66.599999999999994" customHeight="1" x14ac:dyDescent="0.45">
      <c r="A5" s="2">
        <v>2</v>
      </c>
      <c r="B5" s="2" t="s">
        <v>20</v>
      </c>
      <c r="C5" s="2"/>
      <c r="D5" s="3" t="s">
        <v>27</v>
      </c>
    </row>
    <row r="6" spans="1:4" ht="49.2" customHeight="1" x14ac:dyDescent="0.45">
      <c r="A6" s="2">
        <v>3</v>
      </c>
      <c r="B6" s="2" t="s">
        <v>21</v>
      </c>
      <c r="C6" s="2"/>
      <c r="D6" s="3" t="s">
        <v>29</v>
      </c>
    </row>
    <row r="7" spans="1:4" ht="36" x14ac:dyDescent="0.45">
      <c r="A7" s="2">
        <v>4</v>
      </c>
      <c r="B7" s="2" t="s">
        <v>30</v>
      </c>
      <c r="C7" s="2"/>
      <c r="D7" s="3" t="s">
        <v>31</v>
      </c>
    </row>
    <row r="8" spans="1:4" ht="36" x14ac:dyDescent="0.45">
      <c r="A8" s="2">
        <v>5</v>
      </c>
      <c r="B8" s="2" t="s">
        <v>22</v>
      </c>
      <c r="C8" s="2"/>
      <c r="D8" s="3" t="s">
        <v>35</v>
      </c>
    </row>
    <row r="9" spans="1:4" ht="36" x14ac:dyDescent="0.45">
      <c r="A9" s="2">
        <v>6</v>
      </c>
      <c r="B9" s="2" t="s">
        <v>23</v>
      </c>
      <c r="C9" s="2"/>
      <c r="D9" s="3" t="s">
        <v>36</v>
      </c>
    </row>
    <row r="10" spans="1:4" ht="36" x14ac:dyDescent="0.45">
      <c r="A10" s="2">
        <v>7</v>
      </c>
      <c r="B10" s="2" t="s">
        <v>24</v>
      </c>
      <c r="C10" s="2"/>
      <c r="D10" s="3" t="s">
        <v>37</v>
      </c>
    </row>
    <row r="11" spans="1:4" ht="36" x14ac:dyDescent="0.45">
      <c r="A11" s="2">
        <v>8</v>
      </c>
      <c r="B11" s="2" t="s">
        <v>38</v>
      </c>
      <c r="C11" s="2"/>
      <c r="D11" s="3" t="s">
        <v>39</v>
      </c>
    </row>
    <row r="12" spans="1:4" ht="36" x14ac:dyDescent="0.45">
      <c r="A12" s="2">
        <v>9</v>
      </c>
      <c r="B12" s="2" t="s">
        <v>34</v>
      </c>
      <c r="C12" s="2"/>
      <c r="D12" s="3" t="s">
        <v>40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B09C-C636-41BA-9860-1CB89D8D4528}">
  <dimension ref="A1:B36"/>
  <sheetViews>
    <sheetView zoomScale="85" zoomScaleNormal="85" workbookViewId="0">
      <selection activeCell="T12" sqref="T12"/>
    </sheetView>
  </sheetViews>
  <sheetFormatPr defaultRowHeight="18" x14ac:dyDescent="0.45"/>
  <sheetData>
    <row r="1" spans="1:1" ht="36.6" x14ac:dyDescent="0.45">
      <c r="A1" s="10" t="s">
        <v>41</v>
      </c>
    </row>
    <row r="34" spans="2:2" s="17" customFormat="1" x14ac:dyDescent="0.45"/>
    <row r="36" spans="2:2" x14ac:dyDescent="0.45">
      <c r="B36" t="s">
        <v>42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1608-6FB7-403A-B22E-1A6A708FF8DA}">
  <dimension ref="B1:Q13"/>
  <sheetViews>
    <sheetView workbookViewId="0">
      <selection activeCell="G12" sqref="G12"/>
    </sheetView>
  </sheetViews>
  <sheetFormatPr defaultRowHeight="18" x14ac:dyDescent="0.45"/>
  <cols>
    <col min="2" max="2" width="13.19921875" bestFit="1" customWidth="1"/>
    <col min="3" max="3" width="7.796875" bestFit="1" customWidth="1"/>
    <col min="4" max="4" width="11.69921875" customWidth="1"/>
    <col min="8" max="8" width="13.19921875" bestFit="1" customWidth="1"/>
    <col min="15" max="15" width="13.19921875" bestFit="1" customWidth="1"/>
  </cols>
  <sheetData>
    <row r="1" spans="2:17" ht="18.600000000000001" thickBot="1" x14ac:dyDescent="0.5"/>
    <row r="2" spans="2:17" ht="18.600000000000001" thickBot="1" x14ac:dyDescent="0.5">
      <c r="B2" s="24" t="s">
        <v>43</v>
      </c>
      <c r="C2" s="25"/>
      <c r="D2" s="26"/>
      <c r="H2" s="24" t="s">
        <v>61</v>
      </c>
      <c r="I2" s="25"/>
      <c r="J2" s="26"/>
      <c r="O2" s="24" t="s">
        <v>53</v>
      </c>
      <c r="P2" s="25"/>
      <c r="Q2" s="26"/>
    </row>
    <row r="3" spans="2:17" x14ac:dyDescent="0.45">
      <c r="B3" s="21" t="s">
        <v>67</v>
      </c>
      <c r="C3" s="22" t="s">
        <v>64</v>
      </c>
      <c r="D3" s="23" t="s">
        <v>66</v>
      </c>
      <c r="H3" s="21" t="s">
        <v>67</v>
      </c>
      <c r="I3" s="22" t="s">
        <v>64</v>
      </c>
      <c r="J3" s="23" t="s">
        <v>66</v>
      </c>
      <c r="O3" s="21" t="s">
        <v>67</v>
      </c>
      <c r="P3" s="22" t="s">
        <v>64</v>
      </c>
      <c r="Q3" s="23" t="s">
        <v>66</v>
      </c>
    </row>
    <row r="4" spans="2:17" x14ac:dyDescent="0.45">
      <c r="B4" s="13" t="s">
        <v>44</v>
      </c>
      <c r="C4" s="2" t="s">
        <v>65</v>
      </c>
      <c r="D4" s="18" t="s">
        <v>71</v>
      </c>
      <c r="H4" s="13" t="s">
        <v>60</v>
      </c>
      <c r="I4" s="2" t="s">
        <v>65</v>
      </c>
      <c r="J4" s="18" t="s">
        <v>70</v>
      </c>
      <c r="O4" s="13" t="s">
        <v>44</v>
      </c>
      <c r="P4" s="2" t="s">
        <v>65</v>
      </c>
      <c r="Q4" s="18" t="s">
        <v>71</v>
      </c>
    </row>
    <row r="5" spans="2:17" x14ac:dyDescent="0.45">
      <c r="B5" s="13" t="s">
        <v>45</v>
      </c>
      <c r="C5" s="2"/>
      <c r="D5" s="18" t="s">
        <v>71</v>
      </c>
      <c r="H5" s="13" t="s">
        <v>54</v>
      </c>
      <c r="I5" s="2"/>
      <c r="J5" s="18" t="s">
        <v>70</v>
      </c>
      <c r="O5" s="13" t="s">
        <v>60</v>
      </c>
      <c r="P5" s="2" t="s">
        <v>65</v>
      </c>
      <c r="Q5" s="18" t="s">
        <v>71</v>
      </c>
    </row>
    <row r="6" spans="2:17" x14ac:dyDescent="0.45">
      <c r="B6" s="13" t="s">
        <v>47</v>
      </c>
      <c r="C6" s="2"/>
      <c r="D6" s="18" t="s">
        <v>71</v>
      </c>
      <c r="H6" s="13" t="s">
        <v>55</v>
      </c>
      <c r="I6" s="2"/>
      <c r="J6" s="18" t="s">
        <v>70</v>
      </c>
      <c r="O6" s="13" t="s">
        <v>54</v>
      </c>
      <c r="P6" s="2"/>
      <c r="Q6" s="18" t="s">
        <v>71</v>
      </c>
    </row>
    <row r="7" spans="2:17" x14ac:dyDescent="0.45">
      <c r="B7" s="13" t="s">
        <v>46</v>
      </c>
      <c r="C7" s="2"/>
      <c r="D7" s="18" t="s">
        <v>71</v>
      </c>
      <c r="H7" s="13" t="s">
        <v>46</v>
      </c>
      <c r="I7" s="2"/>
      <c r="J7" s="18" t="s">
        <v>70</v>
      </c>
      <c r="O7" s="13" t="s">
        <v>55</v>
      </c>
      <c r="P7" s="2"/>
      <c r="Q7" s="18" t="s">
        <v>71</v>
      </c>
    </row>
    <row r="8" spans="2:17" x14ac:dyDescent="0.45">
      <c r="B8" s="13" t="s">
        <v>48</v>
      </c>
      <c r="C8" s="2"/>
      <c r="D8" s="18" t="s">
        <v>72</v>
      </c>
      <c r="H8" s="13" t="s">
        <v>63</v>
      </c>
      <c r="I8" s="2"/>
      <c r="J8" s="18" t="s">
        <v>73</v>
      </c>
      <c r="O8" s="13" t="s">
        <v>58</v>
      </c>
      <c r="P8" s="2"/>
      <c r="Q8" s="18" t="s">
        <v>58</v>
      </c>
    </row>
    <row r="9" spans="2:17" ht="18.600000000000001" thickBot="1" x14ac:dyDescent="0.5">
      <c r="B9" s="13" t="s">
        <v>49</v>
      </c>
      <c r="C9" s="2"/>
      <c r="D9" s="18" t="s">
        <v>71</v>
      </c>
      <c r="H9" s="15" t="s">
        <v>62</v>
      </c>
      <c r="I9" s="19"/>
      <c r="J9" s="20" t="s">
        <v>68</v>
      </c>
      <c r="O9" s="13" t="s">
        <v>56</v>
      </c>
      <c r="P9" s="2"/>
      <c r="Q9" s="18" t="s">
        <v>71</v>
      </c>
    </row>
    <row r="10" spans="2:17" x14ac:dyDescent="0.45">
      <c r="B10" s="13" t="s">
        <v>50</v>
      </c>
      <c r="C10" s="2"/>
      <c r="D10" s="18" t="s">
        <v>71</v>
      </c>
      <c r="O10" s="13" t="s">
        <v>57</v>
      </c>
      <c r="P10" s="2"/>
      <c r="Q10" s="18" t="s">
        <v>72</v>
      </c>
    </row>
    <row r="11" spans="2:17" x14ac:dyDescent="0.45">
      <c r="B11" s="13" t="s">
        <v>51</v>
      </c>
      <c r="C11" s="2"/>
      <c r="D11" s="18" t="s">
        <v>71</v>
      </c>
      <c r="O11" s="13" t="s">
        <v>63</v>
      </c>
      <c r="P11" s="2"/>
      <c r="Q11" s="18" t="s">
        <v>73</v>
      </c>
    </row>
    <row r="12" spans="2:17" ht="18.600000000000001" thickBot="1" x14ac:dyDescent="0.5">
      <c r="B12" s="13" t="s">
        <v>52</v>
      </c>
      <c r="C12" s="2"/>
      <c r="D12" s="18" t="s">
        <v>71</v>
      </c>
      <c r="O12" s="15" t="s">
        <v>59</v>
      </c>
      <c r="P12" s="19"/>
      <c r="Q12" s="20" t="s">
        <v>68</v>
      </c>
    </row>
    <row r="13" spans="2:17" ht="18.600000000000001" thickBot="1" x14ac:dyDescent="0.5">
      <c r="B13" s="15" t="s">
        <v>59</v>
      </c>
      <c r="C13" s="19"/>
      <c r="D13" s="20" t="s">
        <v>69</v>
      </c>
    </row>
  </sheetData>
  <mergeCells count="3">
    <mergeCell ref="B2:D2"/>
    <mergeCell ref="H2:J2"/>
    <mergeCell ref="O2:Q2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CB3F-B623-4586-A047-3F1FB05265A1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4F0B-D30C-4B05-B840-D26C979D5CEF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E0FC-FD83-4EFF-8917-69D267C31BBB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9E1A-E720-45DE-8213-46E01EB83BED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B4E6-DBF0-4C32-B8DB-B2B07996689E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2588-BA90-4F8D-983C-CC159D52FDE0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機能要件</vt:lpstr>
      <vt:lpstr>画面一覧</vt:lpstr>
      <vt:lpstr>画面遷移図</vt:lpstr>
      <vt:lpstr>DB</vt:lpstr>
      <vt:lpstr>ログイン画面</vt:lpstr>
      <vt:lpstr>ユーザー登録</vt:lpstr>
      <vt:lpstr>当月支出</vt:lpstr>
      <vt:lpstr>月別支出</vt:lpstr>
      <vt:lpstr>年間支出</vt:lpstr>
      <vt:lpstr>支出比較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105320_松永 拓磨</dc:creator>
  <cp:lastModifiedBy>105320_松永 拓磨</cp:lastModifiedBy>
  <dcterms:created xsi:type="dcterms:W3CDTF">2026-10-23T05:11:16Z</dcterms:created>
  <dcterms:modified xsi:type="dcterms:W3CDTF">2026-10-27T00:45:02Z</dcterms:modified>
</cp:coreProperties>
</file>